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C:\Users\barri\OneDrive\Desktop\maqueta_fincas_preuba\"/>
    </mc:Choice>
  </mc:AlternateContent>
  <xr:revisionPtr revIDLastSave="0" documentId="13_ncr:1_{D4DFBC9C-0E44-4AFF-AB8A-EEE810373D1C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3" i="1" l="1"/>
  <c r="D96" i="1"/>
  <c r="D8" i="1"/>
  <c r="D103" i="1"/>
  <c r="D102" i="1"/>
  <c r="D101" i="1"/>
  <c r="D100" i="1"/>
  <c r="D99" i="1"/>
  <c r="D98" i="1"/>
  <c r="D97" i="1"/>
  <c r="D94" i="1"/>
  <c r="D93" i="1"/>
  <c r="D92" i="1"/>
  <c r="D68" i="1"/>
  <c r="D67" i="1"/>
  <c r="D66" i="1"/>
  <c r="D60" i="1"/>
  <c r="D58" i="1"/>
  <c r="D55" i="1"/>
  <c r="D53" i="1"/>
  <c r="D52" i="1"/>
  <c r="D51" i="1"/>
  <c r="D50" i="1"/>
  <c r="D48" i="1"/>
  <c r="D31" i="1"/>
  <c r="D18" i="1"/>
</calcChain>
</file>

<file path=xl/sharedStrings.xml><?xml version="1.0" encoding="utf-8"?>
<sst xmlns="http://schemas.openxmlformats.org/spreadsheetml/2006/main" count="408" uniqueCount="182">
  <si>
    <t>referencia</t>
  </si>
  <si>
    <t>tipo</t>
  </si>
  <si>
    <t>nombre</t>
  </si>
  <si>
    <t>color</t>
  </si>
  <si>
    <t>MATORRAL</t>
  </si>
  <si>
    <t>#FFFF00</t>
  </si>
  <si>
    <t>PRADO</t>
  </si>
  <si>
    <t>#00FFFF</t>
  </si>
  <si>
    <t>ARBOLES</t>
  </si>
  <si>
    <t>#00CED1</t>
  </si>
  <si>
    <t>LABRADIO</t>
  </si>
  <si>
    <t>#FFA500</t>
  </si>
  <si>
    <t>PINOS</t>
  </si>
  <si>
    <t>#FF6347</t>
  </si>
  <si>
    <t>CARBALLOS</t>
  </si>
  <si>
    <t>#FF00FF</t>
  </si>
  <si>
    <t>CASTAÑOS</t>
  </si>
  <si>
    <t>#0000FF</t>
  </si>
  <si>
    <t>GRANJA</t>
  </si>
  <si>
    <t>#FF0000</t>
  </si>
  <si>
    <t>EUCALIPTOS</t>
  </si>
  <si>
    <t>VIVIENDA</t>
  </si>
  <si>
    <t>COTO DA BARREIRA</t>
  </si>
  <si>
    <t>REGUEIRO</t>
  </si>
  <si>
    <t>PORTACENDOI</t>
  </si>
  <si>
    <t>TRALOBALO</t>
  </si>
  <si>
    <t>SOUTO LONGO</t>
  </si>
  <si>
    <t>SOUTO</t>
  </si>
  <si>
    <t>PEREIRAS</t>
  </si>
  <si>
    <t>ZARRAS</t>
  </si>
  <si>
    <t>CANCELO</t>
  </si>
  <si>
    <t>CORREDOIRA</t>
  </si>
  <si>
    <t>PEDROUZO</t>
  </si>
  <si>
    <t>ANELLAS</t>
  </si>
  <si>
    <t>TROZO DO CRUCEIRO</t>
  </si>
  <si>
    <t>ESTIVADA</t>
  </si>
  <si>
    <t>CRUCEIRO</t>
  </si>
  <si>
    <t>CHOPERO</t>
  </si>
  <si>
    <t>CARBALLEDO DE ARRIBA</t>
  </si>
  <si>
    <t>COTO DAS CEPAS</t>
  </si>
  <si>
    <t>PRADO DA CHOUSA</t>
  </si>
  <si>
    <t>CHOUSA DE ABAIXO</t>
  </si>
  <si>
    <t>CODESAL</t>
  </si>
  <si>
    <t>BRAÑAS</t>
  </si>
  <si>
    <t>PATAQUEIRA</t>
  </si>
  <si>
    <t>CARBALLIÑO</t>
  </si>
  <si>
    <t>MARTINGOS</t>
  </si>
  <si>
    <t>CHOUSIÑA</t>
  </si>
  <si>
    <t>CAVADA</t>
  </si>
  <si>
    <t>python script.py</t>
  </si>
  <si>
    <t>unir a la 1017</t>
  </si>
  <si>
    <t>unir a la 995</t>
  </si>
  <si>
    <t>unir parcelas</t>
  </si>
  <si>
    <t>MONTE BALADOIRO</t>
  </si>
  <si>
    <t>ZARRA DE BAIXO</t>
  </si>
  <si>
    <t>cambiar nombre</t>
  </si>
  <si>
    <t>PASTO</t>
  </si>
  <si>
    <t>ORTELO</t>
  </si>
  <si>
    <t>NABAL</t>
  </si>
  <si>
    <t>CONZADO DA RESTRE</t>
  </si>
  <si>
    <t>LEIRA DA RESTRE</t>
  </si>
  <si>
    <t>ESPIÑO</t>
  </si>
  <si>
    <t>OS CHAOS</t>
  </si>
  <si>
    <t>CONZADO DA CORREDOIRA</t>
  </si>
  <si>
    <t>ZARRA DO COTO</t>
  </si>
  <si>
    <t>unir parcelas
CAMBIAR NOMBRES</t>
  </si>
  <si>
    <t>REGUEIRA-COTO DO PIÑEIRO</t>
  </si>
  <si>
    <t>REGUEIRA-CARREIRA COBA</t>
  </si>
  <si>
    <t>CAMIÑO DAS PEDRAS</t>
  </si>
  <si>
    <t>CROIO BLANCO</t>
  </si>
  <si>
    <t>PENA DO CORGO</t>
  </si>
  <si>
    <t>URIXEIRA</t>
  </si>
  <si>
    <t>BRAÑA DE SIMON</t>
  </si>
  <si>
    <t>BRAÑA</t>
  </si>
  <si>
    <t>no son correstas las propiedades por cambios con suso</t>
  </si>
  <si>
    <t>CARREIRA COBA</t>
  </si>
  <si>
    <t>COTO DO PIÑEIRO</t>
  </si>
  <si>
    <t>CASARELLO</t>
  </si>
  <si>
    <t>36020A041000010000KH</t>
  </si>
  <si>
    <t>36020A041000020000KP</t>
  </si>
  <si>
    <t>36020A041000030000KW</t>
  </si>
  <si>
    <t>36020A041000040000KD</t>
  </si>
  <si>
    <t>36020A041000050000KL</t>
  </si>
  <si>
    <t>36020A041000060000KS</t>
  </si>
  <si>
    <t>36020A041000070000KZ</t>
  </si>
  <si>
    <t>36020A041000080000KG</t>
  </si>
  <si>
    <t>36020A041000090000KN</t>
  </si>
  <si>
    <t>36020A041000100000KU</t>
  </si>
  <si>
    <t>36020A041000110000KB</t>
  </si>
  <si>
    <t>36020A041000120000KI</t>
  </si>
  <si>
    <t>36020A041000130000KP</t>
  </si>
  <si>
    <t>36020A041000140000KW</t>
  </si>
  <si>
    <t>36020A041000150000KD</t>
  </si>
  <si>
    <t>36020A041000160000KK</t>
  </si>
  <si>
    <t>36020A041000170000KR</t>
  </si>
  <si>
    <t>36020A041000180000KY</t>
  </si>
  <si>
    <t>36020A041000190000KF</t>
  </si>
  <si>
    <t>36020A041000200000KM</t>
  </si>
  <si>
    <t>36020A041000210000KT</t>
  </si>
  <si>
    <t>36020A041000220000KA</t>
  </si>
  <si>
    <t>36020A041000230000KH</t>
  </si>
  <si>
    <t>36020A041000240000KO</t>
  </si>
  <si>
    <t>36020A041000250000KV</t>
  </si>
  <si>
    <t>36020A041000260000KC</t>
  </si>
  <si>
    <t>36020A041000270000KJ</t>
  </si>
  <si>
    <t>36020A041000280000KQ</t>
  </si>
  <si>
    <t>36020A041000290000KX</t>
  </si>
  <si>
    <t>36020A041000300000KE</t>
  </si>
  <si>
    <t>36020A041000310000KL</t>
  </si>
  <si>
    <t>36020A041000320000KS</t>
  </si>
  <si>
    <t>36020A041000330000KZ</t>
  </si>
  <si>
    <t>36020A041000340000KG</t>
  </si>
  <si>
    <t>36020A041000350000KN</t>
  </si>
  <si>
    <t>36020A041000360000KU</t>
  </si>
  <si>
    <t>36020A041000370000KB</t>
  </si>
  <si>
    <t>36020A041000380000KI</t>
  </si>
  <si>
    <t>36020A041000390000KP</t>
  </si>
  <si>
    <t>36020A041000400000KW</t>
  </si>
  <si>
    <t>36020A041000410000KD</t>
  </si>
  <si>
    <t>36020A041000420000KK</t>
  </si>
  <si>
    <t>36020A041000430000KR</t>
  </si>
  <si>
    <t>36020A041000440000KY</t>
  </si>
  <si>
    <t>36020A041000450000KF</t>
  </si>
  <si>
    <t>36020A041000460000KM</t>
  </si>
  <si>
    <t>36020A041000470000KT</t>
  </si>
  <si>
    <t>36020A041000480000KA</t>
  </si>
  <si>
    <t>36020A041000490000KH</t>
  </si>
  <si>
    <t>36020A041000500000KO</t>
  </si>
  <si>
    <t>36020A041000510000KV</t>
  </si>
  <si>
    <t>36020A041000520000KC</t>
  </si>
  <si>
    <t>36020A041000530000KJ</t>
  </si>
  <si>
    <t>36020A041000540000KQ</t>
  </si>
  <si>
    <t>36020A041000550000KX</t>
  </si>
  <si>
    <t>36020A041000560000KE</t>
  </si>
  <si>
    <t>36020A041000570000KL</t>
  </si>
  <si>
    <t>36020A041000580000KS</t>
  </si>
  <si>
    <t>36020A041000590000KZ</t>
  </si>
  <si>
    <t>36020A041000600000KG</t>
  </si>
  <si>
    <t>36020A041000610000KN</t>
  </si>
  <si>
    <t>36020A041000620000KU</t>
  </si>
  <si>
    <t>36020A041000630000KB</t>
  </si>
  <si>
    <t>36020A041000640000KI</t>
  </si>
  <si>
    <t>36020A041000650000KP</t>
  </si>
  <si>
    <t>36020A041000660000KW</t>
  </si>
  <si>
    <t>36020A041000670000KD</t>
  </si>
  <si>
    <t>36020A041000680000KK</t>
  </si>
  <si>
    <t>36020A041000690000KR</t>
  </si>
  <si>
    <t>36020A041000700000KY</t>
  </si>
  <si>
    <t>36020A041000710000KF</t>
  </si>
  <si>
    <t>36020A041000720000KM</t>
  </si>
  <si>
    <t>36020A041000730000KT</t>
  </si>
  <si>
    <t>36020A041000740000KA</t>
  </si>
  <si>
    <t>36020A041000750000KH</t>
  </si>
  <si>
    <t>36020A041000760000KO</t>
  </si>
  <si>
    <t>36020A041000770000KV</t>
  </si>
  <si>
    <t>36020A041000780000KC</t>
  </si>
  <si>
    <t>36020A041000790000KJ</t>
  </si>
  <si>
    <t>36020A041000800000KQ</t>
  </si>
  <si>
    <t>36020A041000810000KX</t>
  </si>
  <si>
    <t>36020A041000820000KE</t>
  </si>
  <si>
    <t>36020A041000830000KL</t>
  </si>
  <si>
    <t>36020A041000840000KS</t>
  </si>
  <si>
    <t>36020A041000850000KZ</t>
  </si>
  <si>
    <t>36020A041000860000KG</t>
  </si>
  <si>
    <t>36020A041000870000KN</t>
  </si>
  <si>
    <t>36020A041000880000KU</t>
  </si>
  <si>
    <t>36020A041000890000KB</t>
  </si>
  <si>
    <t>36020A041000900000KI</t>
  </si>
  <si>
    <t>36020A041000910000KP</t>
  </si>
  <si>
    <t>36020A041000920000KW</t>
  </si>
  <si>
    <t>36020A041000930000KD</t>
  </si>
  <si>
    <t>36020A041000940000KK</t>
  </si>
  <si>
    <t>36020A041000950000KR</t>
  </si>
  <si>
    <t>36020A041000960000KY</t>
  </si>
  <si>
    <t>36020A041000970000KF</t>
  </si>
  <si>
    <t>36020A041000980000KM</t>
  </si>
  <si>
    <t>36020A041000990000KT</t>
  </si>
  <si>
    <t>36020A041001000000KA</t>
  </si>
  <si>
    <t>36020A041001010000KH</t>
  </si>
  <si>
    <t>36020A041001020000KO</t>
  </si>
  <si>
    <t>36020A041001030000KV</t>
  </si>
  <si>
    <t>36020A041001040000KC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</si>
</sst>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5"/>
  <sheetViews>
    <sheetView tabSelected="1" zoomScale="115" zoomScaleNormal="115" workbookViewId="0">
      <selection activeCell="A2" sqref="A2:A105"/>
    </sheetView>
  </sheetViews>
  <sheetFormatPr baseColWidth="10" defaultRowHeight="14.25" x14ac:dyDescent="0.45"/>
  <cols>
    <col min="1" max="1" width="21.46484375" bestFit="1" customWidth="1"/>
    <col min="2" max="2" width="11.73046875" customWidth="1"/>
    <col min="3" max="3" width="24.33203125" bestFit="1" customWidth="1"/>
    <col min="5" max="5" width="44.33203125" style="1" bestFit="1" customWidth="1"/>
  </cols>
  <sheetData>
    <row r="1" spans="1:5" x14ac:dyDescent="0.45">
      <c r="A1" t="s">
        <v>0</v>
      </c>
      <c r="B1" t="s">
        <v>1</v>
      </c>
      <c r="C1" t="s">
        <v>2</v>
      </c>
      <c r="D1" t="s">
        <v>3</v>
      </c>
    </row>
    <row r="2" spans="1:5" x14ac:dyDescent="0.45">
      <c r="A2" s="4" t="s">
        <v>78</v>
      </c>
      <c r="B2" t="s">
        <v>4</v>
      </c>
      <c r="C2" t="s">
        <v>53</v>
      </c>
      <c r="D2" t="s">
        <v>5</v>
      </c>
      <c r="E2" s="1" t="s">
        <v>49</v>
      </c>
    </row>
    <row r="3" spans="1:5" x14ac:dyDescent="0.45">
      <c r="A3" s="4" t="s">
        <v>79</v>
      </c>
      <c r="B3" t="s">
        <v>4</v>
      </c>
      <c r="C3" t="s">
        <v>22</v>
      </c>
      <c r="D3" t="s">
        <v>5</v>
      </c>
    </row>
    <row r="4" spans="1:5" x14ac:dyDescent="0.45">
      <c r="A4" s="4" t="s">
        <v>80</v>
      </c>
      <c r="B4" t="s">
        <v>4</v>
      </c>
      <c r="C4" t="s">
        <v>22</v>
      </c>
      <c r="D4" t="s">
        <v>5</v>
      </c>
    </row>
    <row r="5" spans="1:5" x14ac:dyDescent="0.45">
      <c r="A5" s="4" t="s">
        <v>81</v>
      </c>
      <c r="B5" t="s">
        <v>4</v>
      </c>
      <c r="C5" t="s">
        <v>23</v>
      </c>
      <c r="D5" t="s">
        <v>5</v>
      </c>
    </row>
    <row r="6" spans="1:5" x14ac:dyDescent="0.45">
      <c r="A6" s="4" t="s">
        <v>82</v>
      </c>
      <c r="B6" t="s">
        <v>4</v>
      </c>
      <c r="C6" t="s">
        <v>23</v>
      </c>
      <c r="D6" t="s">
        <v>5</v>
      </c>
    </row>
    <row r="7" spans="1:5" x14ac:dyDescent="0.45">
      <c r="A7" s="4" t="s">
        <v>83</v>
      </c>
      <c r="B7" t="s">
        <v>6</v>
      </c>
      <c r="C7" t="s">
        <v>24</v>
      </c>
      <c r="D7" t="s">
        <v>7</v>
      </c>
    </row>
    <row r="8" spans="1:5" x14ac:dyDescent="0.45">
      <c r="A8" s="4" t="s">
        <v>84</v>
      </c>
      <c r="B8" t="s">
        <v>20</v>
      </c>
      <c r="C8" t="s">
        <v>25</v>
      </c>
      <c r="D8" t="str">
        <f>IF(B8="MATORRAL","#D2691E",IF(B8="PRADO","#006400",IF(B8="EUCALIPTOS","#7FFF00",IF(B8="LABRADIO","#A9A9A9",IF(B8="PINOS","#B22222",IF(B8="CASTAÑOS","#8B4513","#FFEBCD"))))))</f>
        <v>#7FFF00</v>
      </c>
    </row>
    <row r="9" spans="1:5" x14ac:dyDescent="0.45">
      <c r="A9" s="4" t="s">
        <v>85</v>
      </c>
      <c r="B9" t="s">
        <v>4</v>
      </c>
      <c r="C9" t="s">
        <v>26</v>
      </c>
      <c r="D9" t="s">
        <v>5</v>
      </c>
    </row>
    <row r="10" spans="1:5" x14ac:dyDescent="0.45">
      <c r="A10" s="4" t="s">
        <v>86</v>
      </c>
      <c r="B10" t="s">
        <v>4</v>
      </c>
      <c r="C10" t="s">
        <v>27</v>
      </c>
      <c r="D10" t="s">
        <v>5</v>
      </c>
    </row>
    <row r="11" spans="1:5" x14ac:dyDescent="0.45">
      <c r="A11" s="4" t="s">
        <v>87</v>
      </c>
      <c r="B11" t="s">
        <v>4</v>
      </c>
      <c r="C11" t="s">
        <v>27</v>
      </c>
      <c r="D11" t="s">
        <v>5</v>
      </c>
    </row>
    <row r="12" spans="1:5" x14ac:dyDescent="0.45">
      <c r="A12" s="4" t="s">
        <v>88</v>
      </c>
      <c r="B12" t="s">
        <v>4</v>
      </c>
      <c r="C12" t="s">
        <v>27</v>
      </c>
      <c r="D12" t="s">
        <v>5</v>
      </c>
    </row>
    <row r="13" spans="1:5" x14ac:dyDescent="0.45">
      <c r="A13" s="4" t="s">
        <v>89</v>
      </c>
      <c r="B13" t="s">
        <v>4</v>
      </c>
      <c r="C13" t="s">
        <v>27</v>
      </c>
      <c r="D13" t="s">
        <v>5</v>
      </c>
    </row>
    <row r="14" spans="1:5" x14ac:dyDescent="0.45">
      <c r="A14" s="4" t="s">
        <v>90</v>
      </c>
      <c r="B14" t="s">
        <v>8</v>
      </c>
      <c r="C14" t="s">
        <v>28</v>
      </c>
      <c r="D14" t="s">
        <v>9</v>
      </c>
    </row>
    <row r="15" spans="1:5" x14ac:dyDescent="0.45">
      <c r="A15" s="4" t="s">
        <v>91</v>
      </c>
      <c r="B15" t="s">
        <v>56</v>
      </c>
      <c r="C15" t="s">
        <v>54</v>
      </c>
      <c r="D15" t="s">
        <v>11</v>
      </c>
      <c r="E15" s="1" t="s">
        <v>55</v>
      </c>
    </row>
    <row r="16" spans="1:5" x14ac:dyDescent="0.45">
      <c r="A16" s="4" t="s">
        <v>92</v>
      </c>
      <c r="B16" t="s">
        <v>10</v>
      </c>
      <c r="C16" t="s">
        <v>57</v>
      </c>
      <c r="D16" t="s">
        <v>11</v>
      </c>
      <c r="E16" s="1" t="s">
        <v>55</v>
      </c>
    </row>
    <row r="17" spans="1:5" x14ac:dyDescent="0.45">
      <c r="A17" s="4" t="s">
        <v>93</v>
      </c>
      <c r="B17" t="s">
        <v>8</v>
      </c>
      <c r="C17" t="s">
        <v>29</v>
      </c>
      <c r="D17" t="s">
        <v>9</v>
      </c>
    </row>
    <row r="18" spans="1:5" x14ac:dyDescent="0.45">
      <c r="A18" s="4" t="s">
        <v>94</v>
      </c>
      <c r="B18" t="s">
        <v>21</v>
      </c>
      <c r="C18" t="s">
        <v>58</v>
      </c>
      <c r="D18" t="str">
        <f>IF(B18="MATORRAL","#D2691E",IF(B18="PRADO","#006400",IF(B18="EUCALIPTOS","#7FFF00",IF(B18="LABRADIO","#A9A9A9",IF(B18="PINOS","#B22222",IF(B18="CASTAÑOS","#8B4513","#FFEBCD"))))))</f>
        <v>#FFEBCD</v>
      </c>
    </row>
    <row r="19" spans="1:5" x14ac:dyDescent="0.45">
      <c r="A19" s="4" t="s">
        <v>95</v>
      </c>
      <c r="B19" t="s">
        <v>4</v>
      </c>
      <c r="C19" t="s">
        <v>59</v>
      </c>
      <c r="D19" t="s">
        <v>5</v>
      </c>
    </row>
    <row r="20" spans="1:5" x14ac:dyDescent="0.45">
      <c r="A20" s="4" t="s">
        <v>96</v>
      </c>
      <c r="B20" t="s">
        <v>12</v>
      </c>
      <c r="C20" t="s">
        <v>60</v>
      </c>
      <c r="D20" t="s">
        <v>13</v>
      </c>
    </row>
    <row r="21" spans="1:5" x14ac:dyDescent="0.45">
      <c r="A21" s="4" t="s">
        <v>97</v>
      </c>
      <c r="B21" t="s">
        <v>10</v>
      </c>
      <c r="C21" t="s">
        <v>61</v>
      </c>
      <c r="D21" t="s">
        <v>11</v>
      </c>
    </row>
    <row r="22" spans="1:5" x14ac:dyDescent="0.45">
      <c r="A22" s="4" t="s">
        <v>98</v>
      </c>
      <c r="B22" t="s">
        <v>10</v>
      </c>
      <c r="C22" t="s">
        <v>62</v>
      </c>
      <c r="D22" t="s">
        <v>11</v>
      </c>
    </row>
    <row r="23" spans="1:5" x14ac:dyDescent="0.45">
      <c r="A23" s="4" t="s">
        <v>99</v>
      </c>
      <c r="B23" t="s">
        <v>10</v>
      </c>
      <c r="C23" t="s">
        <v>30</v>
      </c>
      <c r="D23" t="s">
        <v>11</v>
      </c>
      <c r="E23" s="1" t="s">
        <v>55</v>
      </c>
    </row>
    <row r="24" spans="1:5" x14ac:dyDescent="0.45">
      <c r="A24" s="4" t="s">
        <v>100</v>
      </c>
      <c r="B24" t="s">
        <v>10</v>
      </c>
      <c r="C24" t="s">
        <v>30</v>
      </c>
      <c r="D24" t="s">
        <v>11</v>
      </c>
    </row>
    <row r="25" spans="1:5" x14ac:dyDescent="0.45">
      <c r="A25" s="4" t="s">
        <v>101</v>
      </c>
      <c r="B25" t="s">
        <v>10</v>
      </c>
      <c r="C25" t="s">
        <v>31</v>
      </c>
      <c r="D25" t="s">
        <v>11</v>
      </c>
    </row>
    <row r="26" spans="1:5" x14ac:dyDescent="0.45">
      <c r="A26" s="4" t="s">
        <v>102</v>
      </c>
      <c r="B26" t="s">
        <v>10</v>
      </c>
      <c r="C26" t="s">
        <v>31</v>
      </c>
      <c r="D26" t="s">
        <v>11</v>
      </c>
    </row>
    <row r="27" spans="1:5" x14ac:dyDescent="0.45">
      <c r="A27" s="4" t="s">
        <v>103</v>
      </c>
      <c r="B27" t="s">
        <v>4</v>
      </c>
      <c r="C27" t="s">
        <v>32</v>
      </c>
      <c r="D27" t="s">
        <v>5</v>
      </c>
    </row>
    <row r="28" spans="1:5" x14ac:dyDescent="0.45">
      <c r="A28" s="4" t="s">
        <v>104</v>
      </c>
      <c r="B28" t="s">
        <v>4</v>
      </c>
      <c r="C28" t="s">
        <v>32</v>
      </c>
      <c r="D28" t="s">
        <v>5</v>
      </c>
    </row>
    <row r="29" spans="1:5" x14ac:dyDescent="0.45">
      <c r="A29" s="4" t="s">
        <v>105</v>
      </c>
      <c r="B29" t="s">
        <v>4</v>
      </c>
      <c r="C29" t="s">
        <v>32</v>
      </c>
      <c r="D29" t="s">
        <v>5</v>
      </c>
    </row>
    <row r="30" spans="1:5" x14ac:dyDescent="0.45">
      <c r="A30" s="4" t="s">
        <v>106</v>
      </c>
      <c r="B30" t="s">
        <v>4</v>
      </c>
      <c r="C30" t="s">
        <v>32</v>
      </c>
      <c r="D30" t="s">
        <v>5</v>
      </c>
    </row>
    <row r="31" spans="1:5" x14ac:dyDescent="0.45">
      <c r="A31" s="4" t="s">
        <v>107</v>
      </c>
      <c r="B31" t="s">
        <v>20</v>
      </c>
      <c r="C31" t="s">
        <v>32</v>
      </c>
      <c r="D31" t="str">
        <f>IF(B31="MATORRAL","#D2691E",IF(B31="PRADO","#006400",IF(B31="EUCALIPTOS","#7FFF00",IF(B31="LABRADIO","#A9A9A9",IF(B31="PINOS","#B22222",IF(B31="CASTAÑOS","#8B4513","#FFEBCD"))))))</f>
        <v>#7FFF00</v>
      </c>
    </row>
    <row r="32" spans="1:5" x14ac:dyDescent="0.45">
      <c r="A32" s="4" t="s">
        <v>108</v>
      </c>
      <c r="B32" t="s">
        <v>12</v>
      </c>
      <c r="C32" t="s">
        <v>32</v>
      </c>
      <c r="D32" t="s">
        <v>13</v>
      </c>
    </row>
    <row r="33" spans="1:5" x14ac:dyDescent="0.45">
      <c r="A33" s="4" t="s">
        <v>109</v>
      </c>
      <c r="B33" t="s">
        <v>4</v>
      </c>
      <c r="C33" t="s">
        <v>32</v>
      </c>
      <c r="D33" t="s">
        <v>5</v>
      </c>
    </row>
    <row r="34" spans="1:5" x14ac:dyDescent="0.45">
      <c r="A34" s="4" t="s">
        <v>110</v>
      </c>
      <c r="B34" t="s">
        <v>12</v>
      </c>
      <c r="C34" t="s">
        <v>63</v>
      </c>
      <c r="D34" t="s">
        <v>13</v>
      </c>
    </row>
    <row r="35" spans="1:5" x14ac:dyDescent="0.45">
      <c r="A35" s="4" t="s">
        <v>111</v>
      </c>
      <c r="B35" t="s">
        <v>12</v>
      </c>
      <c r="C35" t="s">
        <v>63</v>
      </c>
      <c r="D35" t="s">
        <v>13</v>
      </c>
    </row>
    <row r="36" spans="1:5" x14ac:dyDescent="0.45">
      <c r="A36" s="4" t="s">
        <v>112</v>
      </c>
      <c r="B36" t="s">
        <v>4</v>
      </c>
      <c r="C36" t="s">
        <v>33</v>
      </c>
      <c r="D36" t="s">
        <v>5</v>
      </c>
    </row>
    <row r="37" spans="1:5" x14ac:dyDescent="0.45">
      <c r="A37" s="4" t="s">
        <v>113</v>
      </c>
      <c r="B37" t="s">
        <v>14</v>
      </c>
      <c r="C37" t="s">
        <v>33</v>
      </c>
      <c r="D37" t="s">
        <v>15</v>
      </c>
    </row>
    <row r="38" spans="1:5" x14ac:dyDescent="0.45">
      <c r="A38" s="4" t="s">
        <v>114</v>
      </c>
      <c r="B38" t="s">
        <v>12</v>
      </c>
      <c r="C38" t="s">
        <v>64</v>
      </c>
      <c r="D38" t="s">
        <v>13</v>
      </c>
      <c r="E38" s="3" t="s">
        <v>65</v>
      </c>
    </row>
    <row r="39" spans="1:5" x14ac:dyDescent="0.45">
      <c r="A39" s="4" t="s">
        <v>115</v>
      </c>
      <c r="B39" t="s">
        <v>12</v>
      </c>
      <c r="C39" t="s">
        <v>64</v>
      </c>
      <c r="D39" t="s">
        <v>13</v>
      </c>
      <c r="E39" s="2"/>
    </row>
    <row r="40" spans="1:5" x14ac:dyDescent="0.45">
      <c r="A40" s="4" t="s">
        <v>116</v>
      </c>
      <c r="B40" t="s">
        <v>12</v>
      </c>
      <c r="C40" t="s">
        <v>64</v>
      </c>
      <c r="D40" t="s">
        <v>13</v>
      </c>
      <c r="E40" s="2"/>
    </row>
    <row r="41" spans="1:5" x14ac:dyDescent="0.45">
      <c r="A41" s="4" t="s">
        <v>117</v>
      </c>
      <c r="B41" t="s">
        <v>12</v>
      </c>
      <c r="C41" t="s">
        <v>64</v>
      </c>
      <c r="D41" t="s">
        <v>13</v>
      </c>
      <c r="E41" s="2"/>
    </row>
    <row r="42" spans="1:5" x14ac:dyDescent="0.45">
      <c r="A42" s="4" t="s">
        <v>118</v>
      </c>
      <c r="B42" t="s">
        <v>12</v>
      </c>
      <c r="C42" t="s">
        <v>64</v>
      </c>
      <c r="D42" t="s">
        <v>13</v>
      </c>
      <c r="E42" s="2"/>
    </row>
    <row r="43" spans="1:5" x14ac:dyDescent="0.45">
      <c r="A43" s="4" t="s">
        <v>119</v>
      </c>
      <c r="B43" t="s">
        <v>12</v>
      </c>
      <c r="C43" t="s">
        <v>64</v>
      </c>
      <c r="D43" t="s">
        <v>13</v>
      </c>
      <c r="E43" s="2"/>
    </row>
    <row r="44" spans="1:5" x14ac:dyDescent="0.45">
      <c r="A44" s="4" t="s">
        <v>120</v>
      </c>
      <c r="B44" t="s">
        <v>12</v>
      </c>
      <c r="C44" t="s">
        <v>64</v>
      </c>
      <c r="D44" t="s">
        <v>13</v>
      </c>
      <c r="E44" s="2"/>
    </row>
    <row r="45" spans="1:5" x14ac:dyDescent="0.45">
      <c r="A45" s="4" t="s">
        <v>121</v>
      </c>
      <c r="B45" t="s">
        <v>12</v>
      </c>
      <c r="C45" t="s">
        <v>64</v>
      </c>
      <c r="D45" t="s">
        <v>13</v>
      </c>
      <c r="E45" s="2"/>
    </row>
    <row r="46" spans="1:5" x14ac:dyDescent="0.45">
      <c r="A46" s="4" t="s">
        <v>122</v>
      </c>
      <c r="B46" t="s">
        <v>12</v>
      </c>
      <c r="C46" t="s">
        <v>64</v>
      </c>
      <c r="D46" t="s">
        <v>13</v>
      </c>
      <c r="E46" s="2"/>
    </row>
    <row r="47" spans="1:5" x14ac:dyDescent="0.45">
      <c r="A47" s="4" t="s">
        <v>123</v>
      </c>
      <c r="B47" t="s">
        <v>4</v>
      </c>
      <c r="C47" t="s">
        <v>34</v>
      </c>
      <c r="D47" t="s">
        <v>5</v>
      </c>
    </row>
    <row r="48" spans="1:5" x14ac:dyDescent="0.45">
      <c r="A48" s="4" t="s">
        <v>124</v>
      </c>
      <c r="B48" t="s">
        <v>20</v>
      </c>
      <c r="C48" t="s">
        <v>66</v>
      </c>
      <c r="D48" t="str">
        <f>IF(B48="MATORRAL","#D2691E",IF(B48="PRADO","#006400",IF(B48="EUCALIPTOS","#7FFF00",IF(B48="LABRADIO","#A9A9A9",IF(B48="PINOS","#B22222",IF(B48="CASTAÑOS","#8B4513","#FFEBCD"))))))</f>
        <v>#7FFF00</v>
      </c>
    </row>
    <row r="49" spans="1:5" x14ac:dyDescent="0.45">
      <c r="A49" s="4" t="s">
        <v>125</v>
      </c>
      <c r="B49" t="s">
        <v>4</v>
      </c>
      <c r="C49" t="s">
        <v>67</v>
      </c>
      <c r="D49" t="s">
        <v>5</v>
      </c>
    </row>
    <row r="50" spans="1:5" x14ac:dyDescent="0.45">
      <c r="A50" s="4" t="s">
        <v>126</v>
      </c>
      <c r="B50" t="s">
        <v>20</v>
      </c>
      <c r="C50" t="s">
        <v>35</v>
      </c>
      <c r="D50" t="str">
        <f>IF(B50="MATORRAL","#D2691E",IF(B50="PRADO","#006400",IF(B50="EUCALIPTOS","#7FFF00",IF(B50="LABRADIO","#A9A9A9",IF(B50="PINOS","#B22222",IF(B50="CASTAÑOS","#8B4513","#FFEBCD"))))))</f>
        <v>#7FFF00</v>
      </c>
    </row>
    <row r="51" spans="1:5" x14ac:dyDescent="0.45">
      <c r="A51" s="4" t="s">
        <v>127</v>
      </c>
      <c r="B51" t="s">
        <v>20</v>
      </c>
      <c r="C51" t="s">
        <v>68</v>
      </c>
      <c r="D51" t="str">
        <f>IF(B51="MATORRAL","#D2691E",IF(B51="PRADO","#006400",IF(B51="EUCALIPTOS","#7FFF00",IF(B51="LABRADIO","#A9A9A9",IF(B51="PINOS","#B22222",IF(B51="CASTAÑOS","#8B4513","#FFEBCD"))))))</f>
        <v>#7FFF00</v>
      </c>
      <c r="E51" s="1" t="s">
        <v>55</v>
      </c>
    </row>
    <row r="52" spans="1:5" x14ac:dyDescent="0.45">
      <c r="A52" s="4" t="s">
        <v>128</v>
      </c>
      <c r="B52" t="s">
        <v>20</v>
      </c>
      <c r="C52" t="s">
        <v>34</v>
      </c>
      <c r="D52" t="str">
        <f>IF(B52="MATORRAL","#D2691E",IF(B52="PRADO","#006400",IF(B52="EUCALIPTOS","#7FFF00",IF(B52="LABRADIO","#A9A9A9",IF(B52="PINOS","#B22222",IF(B52="CASTAÑOS","#8B4513","#FFEBCD"))))))</f>
        <v>#7FFF00</v>
      </c>
      <c r="E52" s="2" t="s">
        <v>52</v>
      </c>
    </row>
    <row r="53" spans="1:5" x14ac:dyDescent="0.45">
      <c r="A53" s="4" t="s">
        <v>129</v>
      </c>
      <c r="B53" t="s">
        <v>20</v>
      </c>
      <c r="C53" t="s">
        <v>34</v>
      </c>
      <c r="D53" t="str">
        <f>IF(B53="MATORRAL","#D2691E",IF(B53="PRADO","#006400",IF(B53="EUCALIPTOS","#7FFF00",IF(B53="LABRADIO","#A9A9A9",IF(B53="PINOS","#B22222",IF(B53="CASTAÑOS","#8B4513","#FFEBCD"))))))</f>
        <v>#7FFF00</v>
      </c>
      <c r="E53" s="2"/>
    </row>
    <row r="54" spans="1:5" x14ac:dyDescent="0.45">
      <c r="A54" s="4" t="s">
        <v>130</v>
      </c>
      <c r="B54" t="s">
        <v>4</v>
      </c>
      <c r="C54" t="s">
        <v>37</v>
      </c>
      <c r="D54" t="s">
        <v>5</v>
      </c>
    </row>
    <row r="55" spans="1:5" x14ac:dyDescent="0.45">
      <c r="A55" s="4" t="s">
        <v>131</v>
      </c>
      <c r="B55" t="s">
        <v>20</v>
      </c>
      <c r="C55" t="s">
        <v>34</v>
      </c>
      <c r="D55" t="str">
        <f>IF(B55="MATORRAL","#D2691E",IF(B55="PRADO","#006400",IF(B55="EUCALIPTOS","#7FFF00",IF(B55="LABRADIO","#A9A9A9",IF(B55="PINOS","#B22222",IF(B55="CASTAÑOS","#8B4513","#FFEBCD"))))))</f>
        <v>#7FFF00</v>
      </c>
    </row>
    <row r="56" spans="1:5" x14ac:dyDescent="0.45">
      <c r="A56" s="4" t="s">
        <v>132</v>
      </c>
      <c r="B56" t="s">
        <v>6</v>
      </c>
      <c r="C56" t="s">
        <v>38</v>
      </c>
      <c r="D56" t="s">
        <v>7</v>
      </c>
      <c r="E56" s="2" t="s">
        <v>52</v>
      </c>
    </row>
    <row r="57" spans="1:5" x14ac:dyDescent="0.45">
      <c r="A57" s="4" t="s">
        <v>133</v>
      </c>
      <c r="B57" t="s">
        <v>6</v>
      </c>
      <c r="C57" t="s">
        <v>38</v>
      </c>
      <c r="D57" t="s">
        <v>7</v>
      </c>
      <c r="E57" s="2"/>
    </row>
    <row r="58" spans="1:5" x14ac:dyDescent="0.45">
      <c r="A58" s="4" t="s">
        <v>134</v>
      </c>
      <c r="B58" t="s">
        <v>20</v>
      </c>
      <c r="C58" t="s">
        <v>38</v>
      </c>
      <c r="D58" t="str">
        <f>IF(B58="MATORRAL","#D2691E",IF(B58="PRADO","#006400",IF(B58="EUCALIPTOS","#7FFF00",IF(B58="LABRADIO","#A9A9A9",IF(B58="PINOS","#B22222",IF(B58="CASTAÑOS","#8B4513","#FFEBCD"))))))</f>
        <v>#7FFF00</v>
      </c>
      <c r="E58" s="2"/>
    </row>
    <row r="59" spans="1:5" x14ac:dyDescent="0.45">
      <c r="A59" s="4" t="s">
        <v>135</v>
      </c>
      <c r="B59" t="s">
        <v>6</v>
      </c>
      <c r="C59" t="s">
        <v>69</v>
      </c>
      <c r="D59" t="s">
        <v>7</v>
      </c>
      <c r="E59" s="2"/>
    </row>
    <row r="60" spans="1:5" x14ac:dyDescent="0.45">
      <c r="A60" s="4" t="s">
        <v>136</v>
      </c>
      <c r="B60" t="s">
        <v>20</v>
      </c>
      <c r="C60" t="s">
        <v>69</v>
      </c>
      <c r="D60" t="str">
        <f>IF(B60="MATORRAL","#D2691E",IF(B60="PRADO","#006400",IF(B60="EUCALIPTOS","#7FFF00",IF(B60="LABRADIO","#A9A9A9",IF(B60="PINOS","#B22222",IF(B60="CASTAÑOS","#8B4513","#FFEBCD"))))))</f>
        <v>#7FFF00</v>
      </c>
      <c r="E60" s="2"/>
    </row>
    <row r="61" spans="1:5" x14ac:dyDescent="0.45">
      <c r="A61" s="4" t="s">
        <v>137</v>
      </c>
      <c r="B61" t="s">
        <v>6</v>
      </c>
      <c r="C61" t="s">
        <v>69</v>
      </c>
      <c r="D61" t="s">
        <v>7</v>
      </c>
      <c r="E61" s="2"/>
    </row>
    <row r="62" spans="1:5" x14ac:dyDescent="0.45">
      <c r="A62" s="4" t="s">
        <v>138</v>
      </c>
      <c r="B62" t="s">
        <v>6</v>
      </c>
      <c r="C62" t="s">
        <v>48</v>
      </c>
      <c r="D62" t="s">
        <v>7</v>
      </c>
      <c r="E62" s="2"/>
    </row>
    <row r="63" spans="1:5" x14ac:dyDescent="0.45">
      <c r="A63" s="4" t="s">
        <v>139</v>
      </c>
      <c r="B63" t="s">
        <v>20</v>
      </c>
      <c r="C63" t="s">
        <v>48</v>
      </c>
      <c r="D63" t="str">
        <f>IF(B63="MATORRAL","#D2691E",IF(B63="PRADO","#006400",IF(B63="EUCALIPTOS","#7FFF00",IF(B63="LABRADIO","#A9A9A9",IF(B63="PINOS","#B22222",IF(B63="CASTAÑOS","#8B4513","#FFEBCD"))))))</f>
        <v>#7FFF00</v>
      </c>
      <c r="E63" s="2"/>
    </row>
    <row r="64" spans="1:5" x14ac:dyDescent="0.45">
      <c r="A64" s="4" t="s">
        <v>140</v>
      </c>
      <c r="B64" t="s">
        <v>12</v>
      </c>
      <c r="C64" t="s">
        <v>34</v>
      </c>
      <c r="D64" t="s">
        <v>13</v>
      </c>
    </row>
    <row r="65" spans="1:5" x14ac:dyDescent="0.45">
      <c r="A65" s="4" t="s">
        <v>141</v>
      </c>
      <c r="B65" t="s">
        <v>6</v>
      </c>
      <c r="C65" t="s">
        <v>34</v>
      </c>
      <c r="D65" t="s">
        <v>7</v>
      </c>
    </row>
    <row r="66" spans="1:5" x14ac:dyDescent="0.45">
      <c r="A66" s="4" t="s">
        <v>142</v>
      </c>
      <c r="B66" t="s">
        <v>20</v>
      </c>
      <c r="C66" t="s">
        <v>39</v>
      </c>
      <c r="D66" t="str">
        <f>IF(B66="MATORRAL","#D2691E",IF(B66="PRADO","#006400",IF(B66="EUCALIPTOS","#7FFF00",IF(B66="LABRADIO","#A9A9A9",IF(B66="PINOS","#B22222",IF(B66="CASTAÑOS","#8B4513","#FFEBCD"))))))</f>
        <v>#7FFF00</v>
      </c>
      <c r="E66" s="2" t="s">
        <v>52</v>
      </c>
    </row>
    <row r="67" spans="1:5" x14ac:dyDescent="0.45">
      <c r="A67" s="4" t="s">
        <v>143</v>
      </c>
      <c r="B67" t="s">
        <v>20</v>
      </c>
      <c r="C67" t="s">
        <v>39</v>
      </c>
      <c r="D67" t="str">
        <f>IF(B67="MATORRAL","#D2691E",IF(B67="PRADO","#006400",IF(B67="EUCALIPTOS","#7FFF00",IF(B67="LABRADIO","#A9A9A9",IF(B67="PINOS","#B22222",IF(B67="CASTAÑOS","#8B4513","#FFEBCD"))))))</f>
        <v>#7FFF00</v>
      </c>
      <c r="E67" s="2"/>
    </row>
    <row r="68" spans="1:5" x14ac:dyDescent="0.45">
      <c r="A68" s="4" t="s">
        <v>144</v>
      </c>
      <c r="B68" t="s">
        <v>20</v>
      </c>
      <c r="C68" t="s">
        <v>70</v>
      </c>
      <c r="D68" t="str">
        <f>IF(B68="MATORRAL","#D2691E",IF(B68="PRADO","#006400",IF(B68="EUCALIPTOS","#7FFF00",IF(B68="LABRADIO","#A9A9A9",IF(B68="PINOS","#B22222",IF(B68="CASTAÑOS","#8B4513","#FFEBCD"))))))</f>
        <v>#7FFF00</v>
      </c>
      <c r="E68" s="2"/>
    </row>
    <row r="69" spans="1:5" x14ac:dyDescent="0.45">
      <c r="A69" s="4" t="s">
        <v>145</v>
      </c>
      <c r="B69" t="s">
        <v>8</v>
      </c>
      <c r="C69" t="s">
        <v>71</v>
      </c>
      <c r="D69" t="s">
        <v>9</v>
      </c>
      <c r="E69" s="1" t="s">
        <v>55</v>
      </c>
    </row>
    <row r="70" spans="1:5" x14ac:dyDescent="0.45">
      <c r="A70" s="4" t="s">
        <v>146</v>
      </c>
      <c r="B70" t="s">
        <v>4</v>
      </c>
      <c r="C70" t="s">
        <v>71</v>
      </c>
      <c r="D70" t="s">
        <v>5</v>
      </c>
      <c r="E70" s="1" t="s">
        <v>55</v>
      </c>
    </row>
    <row r="71" spans="1:5" x14ac:dyDescent="0.45">
      <c r="A71" s="4" t="s">
        <v>147</v>
      </c>
      <c r="B71" t="s">
        <v>6</v>
      </c>
      <c r="C71" t="s">
        <v>40</v>
      </c>
      <c r="D71" t="s">
        <v>7</v>
      </c>
    </row>
    <row r="72" spans="1:5" x14ac:dyDescent="0.45">
      <c r="A72" s="4" t="s">
        <v>148</v>
      </c>
      <c r="B72" t="s">
        <v>8</v>
      </c>
      <c r="C72" t="s">
        <v>41</v>
      </c>
      <c r="D72" t="s">
        <v>9</v>
      </c>
    </row>
    <row r="73" spans="1:5" x14ac:dyDescent="0.45">
      <c r="A73" s="4" t="s">
        <v>149</v>
      </c>
      <c r="B73" t="s">
        <v>8</v>
      </c>
      <c r="C73" t="s">
        <v>41</v>
      </c>
      <c r="D73" t="s">
        <v>9</v>
      </c>
    </row>
    <row r="74" spans="1:5" x14ac:dyDescent="0.45">
      <c r="A74" s="4" t="s">
        <v>150</v>
      </c>
      <c r="B74" t="s">
        <v>8</v>
      </c>
      <c r="C74" t="s">
        <v>41</v>
      </c>
      <c r="D74" t="s">
        <v>9</v>
      </c>
    </row>
    <row r="75" spans="1:5" x14ac:dyDescent="0.45">
      <c r="A75" s="4" t="s">
        <v>151</v>
      </c>
      <c r="B75" t="s">
        <v>14</v>
      </c>
      <c r="C75" t="s">
        <v>42</v>
      </c>
      <c r="D75" t="s">
        <v>15</v>
      </c>
    </row>
    <row r="76" spans="1:5" x14ac:dyDescent="0.45">
      <c r="A76" s="4" t="s">
        <v>152</v>
      </c>
      <c r="B76" t="s">
        <v>16</v>
      </c>
      <c r="C76" t="s">
        <v>42</v>
      </c>
      <c r="D76" t="s">
        <v>17</v>
      </c>
      <c r="E76" s="2" t="s">
        <v>52</v>
      </c>
    </row>
    <row r="77" spans="1:5" x14ac:dyDescent="0.45">
      <c r="A77" s="4" t="s">
        <v>153</v>
      </c>
      <c r="B77" t="s">
        <v>16</v>
      </c>
      <c r="C77" t="s">
        <v>42</v>
      </c>
      <c r="D77" t="s">
        <v>17</v>
      </c>
      <c r="E77" s="2"/>
    </row>
    <row r="78" spans="1:5" x14ac:dyDescent="0.45">
      <c r="A78" s="4" t="s">
        <v>154</v>
      </c>
      <c r="B78" t="s">
        <v>4</v>
      </c>
      <c r="C78" t="s">
        <v>43</v>
      </c>
      <c r="D78" t="s">
        <v>5</v>
      </c>
      <c r="E78" s="1" t="s">
        <v>50</v>
      </c>
    </row>
    <row r="79" spans="1:5" x14ac:dyDescent="0.45">
      <c r="A79" s="4" t="s">
        <v>155</v>
      </c>
      <c r="B79" t="s">
        <v>6</v>
      </c>
      <c r="C79" t="s">
        <v>43</v>
      </c>
      <c r="D79" t="s">
        <v>7</v>
      </c>
      <c r="E79" s="2" t="s">
        <v>52</v>
      </c>
    </row>
    <row r="80" spans="1:5" x14ac:dyDescent="0.45">
      <c r="A80" s="4" t="s">
        <v>156</v>
      </c>
      <c r="B80" t="s">
        <v>6</v>
      </c>
      <c r="C80" t="s">
        <v>43</v>
      </c>
      <c r="D80" t="s">
        <v>7</v>
      </c>
      <c r="E80" s="2"/>
    </row>
    <row r="81" spans="1:5" x14ac:dyDescent="0.45">
      <c r="A81" s="4" t="s">
        <v>157</v>
      </c>
      <c r="B81" t="s">
        <v>6</v>
      </c>
      <c r="C81" t="s">
        <v>43</v>
      </c>
      <c r="D81" t="s">
        <v>7</v>
      </c>
      <c r="E81" s="2"/>
    </row>
    <row r="82" spans="1:5" x14ac:dyDescent="0.45">
      <c r="A82" s="4" t="s">
        <v>158</v>
      </c>
      <c r="B82" t="s">
        <v>6</v>
      </c>
      <c r="C82" t="s">
        <v>43</v>
      </c>
      <c r="D82" t="s">
        <v>7</v>
      </c>
      <c r="E82" s="2"/>
    </row>
    <row r="83" spans="1:5" x14ac:dyDescent="0.45">
      <c r="A83" s="4" t="s">
        <v>159</v>
      </c>
      <c r="B83" t="s">
        <v>6</v>
      </c>
      <c r="C83" t="s">
        <v>72</v>
      </c>
      <c r="D83" t="s">
        <v>7</v>
      </c>
    </row>
    <row r="84" spans="1:5" x14ac:dyDescent="0.45">
      <c r="A84" s="4" t="s">
        <v>160</v>
      </c>
      <c r="B84" t="s">
        <v>4</v>
      </c>
      <c r="C84" t="s">
        <v>73</v>
      </c>
      <c r="D84" t="s">
        <v>11</v>
      </c>
      <c r="E84" s="1" t="s">
        <v>51</v>
      </c>
    </row>
    <row r="85" spans="1:5" x14ac:dyDescent="0.45">
      <c r="A85" s="4" t="s">
        <v>161</v>
      </c>
      <c r="B85" t="s">
        <v>12</v>
      </c>
      <c r="C85" t="s">
        <v>44</v>
      </c>
      <c r="D85" t="s">
        <v>11</v>
      </c>
    </row>
    <row r="86" spans="1:5" x14ac:dyDescent="0.45">
      <c r="A86" s="4" t="s">
        <v>162</v>
      </c>
      <c r="B86" t="s">
        <v>12</v>
      </c>
      <c r="C86" t="s">
        <v>42</v>
      </c>
      <c r="D86" t="s">
        <v>13</v>
      </c>
    </row>
    <row r="87" spans="1:5" x14ac:dyDescent="0.45">
      <c r="A87" s="4" t="s">
        <v>163</v>
      </c>
      <c r="B87" t="s">
        <v>6</v>
      </c>
      <c r="C87" t="s">
        <v>45</v>
      </c>
      <c r="D87" t="s">
        <v>7</v>
      </c>
      <c r="E87" s="1" t="s">
        <v>74</v>
      </c>
    </row>
    <row r="88" spans="1:5" x14ac:dyDescent="0.45">
      <c r="A88" s="4" t="s">
        <v>164</v>
      </c>
      <c r="B88" t="s">
        <v>10</v>
      </c>
      <c r="C88" t="s">
        <v>36</v>
      </c>
      <c r="D88" t="s">
        <v>11</v>
      </c>
    </row>
    <row r="89" spans="1:5" x14ac:dyDescent="0.45">
      <c r="A89" s="4" t="s">
        <v>165</v>
      </c>
      <c r="B89" t="s">
        <v>6</v>
      </c>
      <c r="C89" t="s">
        <v>46</v>
      </c>
      <c r="D89" t="s">
        <v>7</v>
      </c>
      <c r="E89" s="3" t="s">
        <v>52</v>
      </c>
    </row>
    <row r="90" spans="1:5" x14ac:dyDescent="0.45">
      <c r="A90" s="4" t="s">
        <v>166</v>
      </c>
      <c r="B90" t="s">
        <v>6</v>
      </c>
      <c r="C90" t="s">
        <v>46</v>
      </c>
      <c r="D90" t="s">
        <v>7</v>
      </c>
      <c r="E90" s="2"/>
    </row>
    <row r="91" spans="1:5" x14ac:dyDescent="0.45">
      <c r="A91" s="4" t="s">
        <v>167</v>
      </c>
      <c r="B91" t="s">
        <v>18</v>
      </c>
      <c r="C91" t="s">
        <v>46</v>
      </c>
      <c r="D91" t="s">
        <v>19</v>
      </c>
    </row>
    <row r="92" spans="1:5" x14ac:dyDescent="0.45">
      <c r="A92" s="4" t="s">
        <v>168</v>
      </c>
      <c r="B92" t="s">
        <v>20</v>
      </c>
      <c r="C92" t="s">
        <v>75</v>
      </c>
      <c r="D92" t="str">
        <f>IF(B92="MATORRAL","#D2691E",IF(B92="PRADO","#006400",IF(B92="EUCALIPTOS","#7FFF00",IF(B92="LABRADIO","#A9A9A9",IF(B92="PINOS","#B22222",IF(B92="CASTAÑOS","#8B4513","#FFEBCD"))))))</f>
        <v>#7FFF00</v>
      </c>
      <c r="E92" s="1" t="s">
        <v>55</v>
      </c>
    </row>
    <row r="93" spans="1:5" x14ac:dyDescent="0.45">
      <c r="A93" s="4" t="s">
        <v>169</v>
      </c>
      <c r="B93" t="s">
        <v>20</v>
      </c>
      <c r="C93" t="s">
        <v>76</v>
      </c>
      <c r="D93" t="str">
        <f>IF(B93="MATORRAL","#D2691E",IF(B93="PRADO","#006400",IF(B93="EUCALIPTOS","#7FFF00",IF(B93="LABRADIO","#A9A9A9",IF(B93="PINOS","#B22222",IF(B93="CASTAÑOS","#8B4513","#FFEBCD"))))))</f>
        <v>#7FFF00</v>
      </c>
    </row>
    <row r="94" spans="1:5" x14ac:dyDescent="0.45">
      <c r="A94" s="4" t="s">
        <v>170</v>
      </c>
      <c r="B94" t="s">
        <v>20</v>
      </c>
      <c r="C94" t="s">
        <v>68</v>
      </c>
      <c r="D94" t="str">
        <f>IF(B94="MATORRAL","#D2691E",IF(B94="PRADO","#006400",IF(B94="EUCALIPTOS","#7FFF00",IF(B94="LABRADIO","#A9A9A9",IF(B94="PINOS","#B22222",IF(B94="CASTAÑOS","#8B4513","#FFEBCD"))))))</f>
        <v>#7FFF00</v>
      </c>
    </row>
    <row r="95" spans="1:5" x14ac:dyDescent="0.45">
      <c r="A95" s="4" t="s">
        <v>171</v>
      </c>
      <c r="B95" t="s">
        <v>4</v>
      </c>
      <c r="C95" t="s">
        <v>34</v>
      </c>
      <c r="D95" t="s">
        <v>5</v>
      </c>
    </row>
    <row r="96" spans="1:5" x14ac:dyDescent="0.45">
      <c r="A96" s="4" t="s">
        <v>172</v>
      </c>
      <c r="B96" t="s">
        <v>20</v>
      </c>
      <c r="C96" t="s">
        <v>39</v>
      </c>
      <c r="D96" t="str">
        <f t="shared" ref="D96:D105" si="0">IF(B96="MATORRAL","#D2691E",IF(B96="PRADO","#006400",IF(B96="EUCALIPTOS","#7FFF00",IF(B96="LABRADIO","#A9A9A9",IF(B96="PINOS","#B22222",IF(B96="CASTAÑOS","#8B4513","#FFEBCD"))))))</f>
        <v>#7FFF00</v>
      </c>
      <c r="E96" s="2" t="s">
        <v>52</v>
      </c>
    </row>
    <row r="97" spans="1:5" x14ac:dyDescent="0.45">
      <c r="A97" s="4" t="s">
        <v>173</v>
      </c>
      <c r="B97" t="s">
        <v>20</v>
      </c>
      <c r="C97" t="s">
        <v>77</v>
      </c>
      <c r="D97" t="str">
        <f t="shared" si="0"/>
        <v>#7FFF00</v>
      </c>
      <c r="E97" s="2"/>
    </row>
    <row r="98" spans="1:5" x14ac:dyDescent="0.45">
      <c r="A98" s="4" t="s">
        <v>174</v>
      </c>
      <c r="B98" t="s">
        <v>20</v>
      </c>
      <c r="C98" t="s">
        <v>77</v>
      </c>
      <c r="D98" t="str">
        <f t="shared" si="0"/>
        <v>#7FFF00</v>
      </c>
      <c r="E98" s="2"/>
    </row>
    <row r="99" spans="1:5" x14ac:dyDescent="0.45">
      <c r="A99" s="4" t="s">
        <v>175</v>
      </c>
      <c r="B99" t="s">
        <v>20</v>
      </c>
      <c r="C99" t="s">
        <v>47</v>
      </c>
      <c r="D99" t="str">
        <f t="shared" si="0"/>
        <v>#7FFF00</v>
      </c>
    </row>
    <row r="100" spans="1:5" x14ac:dyDescent="0.45">
      <c r="A100" s="4" t="s">
        <v>176</v>
      </c>
      <c r="B100" t="s">
        <v>20</v>
      </c>
      <c r="C100" t="s">
        <v>34</v>
      </c>
      <c r="D100" t="str">
        <f t="shared" si="0"/>
        <v>#7FFF00</v>
      </c>
    </row>
    <row r="101" spans="1:5" x14ac:dyDescent="0.45">
      <c r="A101" s="4" t="s">
        <v>177</v>
      </c>
      <c r="B101" t="s">
        <v>20</v>
      </c>
      <c r="C101" t="s">
        <v>48</v>
      </c>
      <c r="D101" t="str">
        <f t="shared" si="0"/>
        <v>#7FFF00</v>
      </c>
      <c r="E101" s="2" t="s">
        <v>52</v>
      </c>
    </row>
    <row r="102" spans="1:5" x14ac:dyDescent="0.45">
      <c r="A102" s="4" t="s">
        <v>178</v>
      </c>
      <c r="B102" t="s">
        <v>20</v>
      </c>
      <c r="C102" t="s">
        <v>48</v>
      </c>
      <c r="D102" t="str">
        <f t="shared" si="0"/>
        <v>#7FFF00</v>
      </c>
      <c r="E102" s="2"/>
    </row>
    <row r="103" spans="1:5" x14ac:dyDescent="0.45">
      <c r="A103" s="4" t="s">
        <v>179</v>
      </c>
      <c r="B103" t="s">
        <v>20</v>
      </c>
      <c r="C103" t="s">
        <v>48</v>
      </c>
      <c r="D103" t="str">
        <f t="shared" si="0"/>
        <v>#7FFF00</v>
      </c>
      <c r="E103" s="2"/>
    </row>
    <row r="104" spans="1:5" x14ac:dyDescent="0.45">
      <c r="A104" s="4" t="s">
        <v>180</v>
      </c>
      <c r="E104" s="2"/>
    </row>
    <row r="105" spans="1:5" x14ac:dyDescent="0.45">
      <c r="A105" s="4" t="s">
        <v>181</v>
      </c>
    </row>
  </sheetData>
  <mergeCells count="9">
    <mergeCell ref="E101:E104"/>
    <mergeCell ref="E56:E63"/>
    <mergeCell ref="E38:E46"/>
    <mergeCell ref="E76:E77"/>
    <mergeCell ref="E52:E53"/>
    <mergeCell ref="E66:E68"/>
    <mergeCell ref="E96:E98"/>
    <mergeCell ref="E89:E90"/>
    <mergeCell ref="E79:E8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CASTRO SALT</dc:creator>
  <cp:lastModifiedBy>SANTIAGO CASTRO SALT</cp:lastModifiedBy>
  <dcterms:created xsi:type="dcterms:W3CDTF">2025-12-06T19:17:08Z</dcterms:created>
  <dcterms:modified xsi:type="dcterms:W3CDTF">2025-12-19T01:07:59Z</dcterms:modified>
</cp:coreProperties>
</file>